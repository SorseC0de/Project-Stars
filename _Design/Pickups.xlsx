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ckups" sheetId="1" state="visible" r:id="rId1"/>
    <sheet name="How to use" sheetId="2" state="visible" r:id="rId2"/>
  </sheets>
  <definedNames>
    <definedName name="_xlnm._FilterDatabase" localSheetId="0" hidden="1">'Pickups'!$A$1:$N$28</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FFFFFF"/>
      <sz val="10"/>
    </font>
    <font>
      <name val="Arial"/>
      <i val="1"/>
      <color rgb="00808080"/>
      <sz val="10"/>
    </font>
    <font>
      <name val="Arial"/>
      <sz val="10"/>
    </font>
    <font>
      <name val="Arial"/>
      <color rgb="005A5A5A"/>
      <sz val="9"/>
    </font>
    <font>
      <name val="Arial"/>
      <b val="1"/>
      <sz val="10"/>
    </font>
    <font>
      <name val="Arial"/>
      <b val="1"/>
      <sz val="13"/>
    </font>
    <font>
      <name val="Arial"/>
      <b val="1"/>
      <sz val="11"/>
    </font>
  </fonts>
  <fills count="4">
    <fill>
      <patternFill/>
    </fill>
    <fill>
      <patternFill patternType="gray125"/>
    </fill>
    <fill>
      <patternFill patternType="solid">
        <fgColor rgb="002F4858"/>
      </patternFill>
    </fill>
    <fill>
      <patternFill patternType="solid">
        <fgColor rgb="00FFF9E3"/>
      </patternFill>
    </fill>
  </fills>
  <borders count="2">
    <border>
      <left/>
      <right/>
      <top/>
      <bottom/>
      <diagonal/>
    </border>
    <border>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7"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24" customWidth="1" min="3" max="3"/>
    <col width="58" customWidth="1" min="4" max="4"/>
    <col width="12" customWidth="1" min="5" max="5"/>
    <col width="12" customWidth="1" min="6" max="6"/>
    <col width="12" customWidth="1" min="7" max="7"/>
    <col width="8" customWidth="1" min="8" max="8"/>
    <col width="20" customWidth="1" min="9" max="9"/>
    <col width="9" customWidth="1" min="10" max="10"/>
    <col width="10" customWidth="1" min="11" max="11"/>
    <col width="13" customWidth="1" min="12" max="12"/>
    <col width="10" customWidth="1" min="13" max="13"/>
    <col width="70" customWidth="1" min="14" max="14"/>
  </cols>
  <sheetData>
    <row r="1" ht="30" customHeight="1">
      <c r="A1" s="1" t="inlineStr">
        <is>
          <t>Struct</t>
        </is>
      </c>
      <c r="B1" s="1" t="inlineStr">
        <is>
          <t>ID</t>
        </is>
      </c>
      <c r="C1" s="1" t="inlineStr">
        <is>
          <t>Name</t>
        </is>
      </c>
      <c r="D1" s="1" t="inlineStr">
        <is>
          <t>Summary</t>
        </is>
      </c>
      <c r="E1" s="1" t="inlineStr">
        <is>
          <t>Chance</t>
        </is>
      </c>
      <c r="F1" s="1" t="inlineStr">
        <is>
          <t>Glyph</t>
        </is>
      </c>
      <c r="G1" s="1" t="inlineStr">
        <is>
          <t>Icon</t>
        </is>
      </c>
      <c r="H1" s="1" t="inlineStr">
        <is>
          <t>Plane</t>
        </is>
      </c>
      <c r="I1" s="1" t="inlineStr">
        <is>
          <t>Element</t>
        </is>
      </c>
      <c r="J1" s="1" t="inlineStr">
        <is>
          <t>Appearance</t>
        </is>
      </c>
      <c r="K1" s="1" t="inlineStr">
        <is>
          <t>Class</t>
        </is>
      </c>
      <c r="L1" s="1" t="inlineStr">
        <is>
          <t>Notes</t>
        </is>
      </c>
      <c r="M1" s="1" t="inlineStr">
        <is>
          <t>Actual %</t>
        </is>
      </c>
    </row>
    <row r="2">
      <c r="A2" s="2" t="inlineStr">
        <is>
          <t>VirgoVictorylapEffect</t>
        </is>
      </c>
      <c r="B2" s="2" t="inlineStr">
        <is>
          <t>virgoVictorylap</t>
        </is>
      </c>
      <c r="C2" s="3" t="inlineStr">
        <is>
          <t>Virgo Victorylap</t>
        </is>
      </c>
      <c r="D2" s="4" t="inlineStr">
        <is>
          <t>Mends the tile it was on, hole or not, and fills your meter.</t>
        </is>
      </c>
      <c r="E2" s="3" t="n">
        <v>0</v>
      </c>
      <c r="F2" s="3" t="inlineStr">
        <is>
          <t>✦</t>
        </is>
      </c>
      <c r="G2" s="3" t="inlineStr"/>
      <c r="H2" s="3" t="inlineStr"/>
      <c r="I2" s="3" t="inlineStr"/>
      <c r="J2" s="3" t="inlineStr"/>
      <c r="K2" s="3" t="inlineStr"/>
      <c r="L2" s="5" t="inlineStr">
        <is>
          <t>chance: Never drawn from the table. See the type's note.</t>
        </is>
      </c>
      <c r="M2" s="11">
        <f>IF(ISNUMBER(E2),E2/MAX(100,$E$30+MAX(E2*0,0)),"")</f>
        <v/>
      </c>
    </row>
    <row r="3">
      <c r="A3" s="2" t="inlineStr">
        <is>
          <t>ZChargeEffect</t>
        </is>
      </c>
      <c r="B3" s="2" t="inlineStr">
        <is>
          <t>zCharge</t>
        </is>
      </c>
      <c r="C3" s="3" t="inlineStr">
        <is>
          <t>Z-Charge</t>
        </is>
      </c>
      <c r="D3" s="4" t="inlineStr">
        <is>
          <t>Gain \(GameRules.zChargePentacleAmount) ZC.</t>
        </is>
      </c>
      <c r="E3" s="3" t="n">
        <v>20</v>
      </c>
      <c r="F3" s="3" t="inlineStr">
        <is>
          <t>⚡</t>
        </is>
      </c>
      <c r="G3" s="3" t="inlineStr">
        <is>
          <t>charge</t>
        </is>
      </c>
      <c r="H3" s="3" t="inlineStr"/>
      <c r="I3" s="3" t="inlineStr"/>
      <c r="J3" s="3" t="inlineStr"/>
      <c r="K3" s="3" t="inlineStr"/>
      <c r="L3" s="5" t="inlineStr">
        <is>
          <t>chance: One against the Tear's three. Charge is the consolation prize for a coin that was not a repair, not the other way round.</t>
        </is>
      </c>
      <c r="M3" s="11">
        <f>IF(ISNUMBER(E3),E3/MAX(100,$E$30+MAX(E3*0,0)),"")</f>
        <v/>
      </c>
    </row>
    <row r="4">
      <c r="A4" s="2" t="inlineStr">
        <is>
          <t>BubbleEffect</t>
        </is>
      </c>
      <c r="B4" s="2" t="inlineStr">
        <is>
          <t>bubble</t>
        </is>
      </c>
      <c r="C4" s="3" t="inlineStr">
        <is>
          <t>Delta Droplet</t>
        </is>
      </c>
      <c r="D4" s="4" t="inlineStr">
        <is>
          <t>A droplet of pure, distilled Astral energy.</t>
        </is>
      </c>
      <c r="E4" s="3" t="n">
        <v>0</v>
      </c>
      <c r="F4" s="3" t="inlineStr">
        <is>
          <t>🫧</t>
        </is>
      </c>
      <c r="G4" s="3" t="inlineStr">
        <is>
          <t>pisces_droplet</t>
        </is>
      </c>
      <c r="H4" s="3" t="inlineStr"/>
      <c r="I4" s="3" t="inlineStr">
        <is>
          <t>water</t>
        </is>
      </c>
      <c r="J4" s="3" t="inlineStr">
        <is>
          <t>bubble</t>
        </is>
      </c>
      <c r="K4" s="3" t="inlineStr">
        <is>
          <t>scatter</t>
        </is>
      </c>
      <c r="L4" s="5" t="inlineStr">
        <is>
          <t>chance: Never rolled. Placed by `PiscesAridAquanaut` and by a fall — see `GameEngine.scatterMeterAsBubbles(on:)`.  |  summary: Says what it is, not what it pays.  |  pickupClass: Gathered, not chosen — several stand at once and taking one leaves the others. See `PickupClass.scatter`.</t>
        </is>
      </c>
      <c r="M4" s="11">
        <f>IF(ISNUMBER(E4),E4/MAX(100,$E$30+MAX(E4*0,0)),"")</f>
        <v/>
      </c>
    </row>
    <row r="5">
      <c r="A5" s="2" t="inlineStr">
        <is>
          <t>AstralTearEffect</t>
        </is>
      </c>
      <c r="B5" s="2" t="inlineStr">
        <is>
          <t>restoreTile</t>
        </is>
      </c>
      <c r="C5" s="3" t="inlineStr">
        <is>
          <t>Astral Tears</t>
        </is>
      </c>
      <c r="D5" s="4" t="inlineStr">
        <is>
          <t>Fully restores the tile you are standing on and one other at random.</t>
        </is>
      </c>
      <c r="E5" s="3" t="n">
        <v>33</v>
      </c>
      <c r="F5" s="3" t="inlineStr">
        <is>
          <t>✚</t>
        </is>
      </c>
      <c r="G5" s="3" t="inlineStr">
        <is>
          <t>heart_drop</t>
        </is>
      </c>
      <c r="H5" s="3" t="inlineStr"/>
      <c r="I5" s="3" t="inlineStr"/>
      <c r="J5" s="3" t="inlineStr"/>
      <c r="K5" s="3" t="inlineStr"/>
      <c r="L5" s="5" t="inlineStr">
        <is>
          <t>chance: Three against Z-Charge's one, which with the common tier at 75 makes this a little over half of every coin opened — three grabs in five, near enough. It is the floor the whole economy sits on: a coin that mends one tile is small enough to be the ordinary case and still worth crossing the board for.</t>
        </is>
      </c>
      <c r="M5" s="11">
        <f>MAX(E5,100-$E$30)/100</f>
        <v/>
      </c>
    </row>
    <row r="6">
      <c r="A6" s="2" t="inlineStr">
        <is>
          <t>AstralBrookEffect</t>
        </is>
      </c>
      <c r="B6" s="2" t="inlineStr">
        <is>
          <t>astralBrook</t>
        </is>
      </c>
      <c r="C6" s="3" t="inlineStr">
        <is>
          <t>Astral Essence ✧ Brook</t>
        </is>
      </c>
      <c r="D6" s="4" t="inlineStr">
        <is>
          <t>An Astral water current carries you forward to the edge of the plane.</t>
        </is>
      </c>
      <c r="E6" s="3" t="n">
        <v>5</v>
      </c>
      <c r="F6" s="3" t="inlineStr">
        <is>
          <t>≈</t>
        </is>
      </c>
      <c r="G6" s="3" t="inlineStr">
        <is>
          <t>Element_Water</t>
        </is>
      </c>
      <c r="H6" s="3" t="inlineStr"/>
      <c r="I6" s="3" t="inlineStr">
        <is>
          <t>water</t>
        </is>
      </c>
      <c r="J6" s="3" t="inlineStr"/>
      <c r="K6" s="3" t="inlineStr"/>
      <c r="L6" s="5" t="inlineStr">
        <is>
          <t>chance: The four Essences are what the uncommon tier is *for*, and their current rate plays well — three each keeps it where it was while the warps come down around them.  |  summary: Says where it takes you and not what it ignores on the way.  The hole-crossing is the discovery: a player learns the Brook passes over gaps by watching it pass over one, which is worth more than being told. One line for both planes, because a coin that describes itself differently depending on where you found it is a coin the player has to read twice.</t>
        </is>
      </c>
      <c r="M6" s="11">
        <f>IF(ISNUMBER(E6),E6/MAX(100,$E$30+MAX(E6*0,0)),"")</f>
        <v/>
      </c>
    </row>
    <row r="7">
      <c r="A7" s="2" t="inlineStr">
        <is>
          <t>AstralBoltEffect</t>
        </is>
      </c>
      <c r="B7" s="2" t="inlineStr">
        <is>
          <t>astralBolt</t>
        </is>
      </c>
      <c r="C7" s="3" t="inlineStr">
        <is>
          <t>Astral Essence ✧ Bolt</t>
        </is>
      </c>
      <c r="D7" s="4" t="inlineStr">
        <is>
          <t>Struck by Astral lightning, you are super-charged for \(GameRules.starMoves) turns. You do not damage tiles or fall in holes, and gain 1 ZC each turn.</t>
        </is>
      </c>
      <c r="E7" s="3" t="n">
        <v>0</v>
      </c>
      <c r="F7" s="3" t="inlineStr">
        <is>
          <t>⚡︎</t>
        </is>
      </c>
      <c r="G7" s="3" t="inlineStr">
        <is>
          <t>Element_Wind</t>
        </is>
      </c>
      <c r="H7" s="3" t="inlineStr"/>
      <c r="I7" s="3" t="inlineStr"/>
      <c r="J7" s="3" t="inlineStr"/>
      <c r="K7" s="3" t="inlineStr"/>
      <c r="L7" s="5" t="inlineStr">
        <is>
          <t>chance: Never drawn directly — see the note above.</t>
        </is>
      </c>
      <c r="M7" s="11">
        <f>IF(ISNUMBER(E7),E7/MAX(100,$E$30+MAX(E7*0,0)),"")</f>
        <v/>
      </c>
    </row>
    <row r="8">
      <c r="A8" s="2" t="inlineStr">
        <is>
          <t>AstralBreezeEffect</t>
        </is>
      </c>
      <c r="B8" s="2" t="inlineStr">
        <is>
          <t>astralBreeze</t>
        </is>
      </c>
      <c r="C8" s="3" t="inlineStr">
        <is>
          <t>Astral Essence ✧ Breeze</t>
        </is>
      </c>
      <c r="D8" s="4" t="inlineStr">
        <is>
          <t>An Astral wind carries you to a tile of choice within this plane.</t>
        </is>
      </c>
      <c r="E8" s="3" t="n">
        <v>5</v>
      </c>
      <c r="F8" s="3" t="inlineStr">
        <is>
          <t>❁</t>
        </is>
      </c>
      <c r="G8" s="3" t="inlineStr">
        <is>
          <t>breeze</t>
        </is>
      </c>
      <c r="H8" s="3" t="inlineStr"/>
      <c r="I8" s="3" t="inlineStr">
        <is>
          <t>air</t>
        </is>
      </c>
      <c r="J8" s="3" t="inlineStr"/>
      <c r="K8" s="3" t="inlineStr"/>
      <c r="L8" s="5" t="inlineStr">
        <is>
          <t>chance: The four Essences are what the uncommon tier is *for*, and their current rate plays well — three each keeps it where it was while the warps come down around them.  |  element: The player picks the destination, so this effect suspends the move.</t>
        </is>
      </c>
      <c r="M8" s="11">
        <f>IF(ISNUMBER(E8),E8/MAX(100,$E$30+MAX(E8*0,0)),"")</f>
        <v/>
      </c>
    </row>
    <row r="9">
      <c r="A9" s="2" t="inlineStr">
        <is>
          <t>StardarEffect</t>
        </is>
      </c>
      <c r="B9" s="2" t="inlineStr">
        <is>
          <t>stardar</t>
        </is>
      </c>
      <c r="C9" s="3" t="inlineStr">
        <is>
          <t>Stardar</t>
        </is>
      </c>
      <c r="D9" s="4" t="inlineStr">
        <is>
          <t>Trust the glimmer of the stars to guide you to fortune</t>
        </is>
      </c>
      <c r="E9" s="3" t="n">
        <v>4</v>
      </c>
      <c r="F9" s="3" t="inlineStr">
        <is>
          <t>◎</t>
        </is>
      </c>
      <c r="G9" s="3" t="inlineStr">
        <is>
          <t>radar</t>
        </is>
      </c>
      <c r="H9" s="3" t="inlineStr"/>
      <c r="I9" s="3" t="inlineStr"/>
      <c r="J9" s="3" t="inlineStr"/>
      <c r="K9" s="3" t="inlineStr"/>
      <c r="L9" s="5" t="inlineStr"/>
      <c r="M9" s="11">
        <f>IF(ISNUMBER(E9),E9/MAX(100,$E$30+MAX(E9*0,0)),"")</f>
        <v/>
      </c>
    </row>
    <row r="10">
      <c r="A10" s="2" t="inlineStr">
        <is>
          <t>NexyialBastionEffect</t>
        </is>
      </c>
      <c r="B10" s="2" t="inlineStr">
        <is>
          <t>nexyialBastion</t>
        </is>
      </c>
      <c r="C10" s="3" t="inlineStr">
        <is>
          <t>Nexyial Bastion</t>
        </is>
      </c>
      <c r="D10" s="4" t="inlineStr">
        <is>
          <t>Astral energy emits from the Nexys, protecting a tile from its next damage.</t>
        </is>
      </c>
      <c r="E10" s="3" t="n">
        <v>4</v>
      </c>
      <c r="F10" s="3" t="inlineStr">
        <is>
          <t>◇</t>
        </is>
      </c>
      <c r="G10" s="3" t="inlineStr">
        <is>
          <t>shield_reflect</t>
        </is>
      </c>
      <c r="H10" s="3" t="inlineStr"/>
      <c r="I10" s="3" t="inlineStr"/>
      <c r="J10" s="3" t="inlineStr"/>
      <c r="K10" s="3" t="inlineStr"/>
      <c r="L10" s="5" t="inlineStr"/>
      <c r="M10" s="11">
        <f>IF(ISNUMBER(E10),E10/MAX(100,$E$30+MAX(E10*0,0)),"")</f>
        <v/>
      </c>
    </row>
    <row r="11">
      <c r="A11" s="2" t="inlineStr">
        <is>
          <t>MatchShiftMiasmaEffect</t>
        </is>
      </c>
      <c r="B11" s="2" t="inlineStr">
        <is>
          <t>matchShiftMiasma</t>
        </is>
      </c>
      <c r="C11" s="3" t="inlineStr">
        <is>
          <t>Match-shift Miasma</t>
        </is>
      </c>
      <c r="D11" s="4" t="inlineStr">
        <is>
          <t>A strange sigil forms below.</t>
        </is>
      </c>
      <c r="E11" s="3" t="n">
        <v>4</v>
      </c>
      <c r="F11" s="3" t="inlineStr">
        <is>
          <t>≈</t>
        </is>
      </c>
      <c r="G11" s="3" t="inlineStr">
        <is>
          <t>typhoon</t>
        </is>
      </c>
      <c r="H11" s="3" t="inlineStr"/>
      <c r="I11" s="3" t="inlineStr"/>
      <c r="J11" s="3" t="inlineStr"/>
      <c r="K11" s="3" t="inlineStr"/>
      <c r="L11" s="5" t="inlineStr"/>
      <c r="M11" s="11">
        <f>IF(ISNUMBER(E11),E11/MAX(100,$E$30+MAX(E11*0,0)),"")</f>
        <v/>
      </c>
    </row>
    <row r="12">
      <c r="A12" s="2" t="inlineStr">
        <is>
          <t>StellunaSpriteEffect</t>
        </is>
      </c>
      <c r="B12" s="2" t="inlineStr">
        <is>
          <t>stellunaSprite</t>
        </is>
      </c>
      <c r="C12" s="3" t="inlineStr">
        <is>
          <t>Stelluna Sprite</t>
        </is>
      </c>
      <c r="D12" s="4" t="inlineStr">
        <is>
          <t>A peculiar fairy whose sparkling wings make those it visits feel safe and protected.</t>
        </is>
      </c>
      <c r="E12" s="3" t="n">
        <v>3</v>
      </c>
      <c r="F12" s="3" t="inlineStr">
        <is>
          <t>✧</t>
        </is>
      </c>
      <c r="G12" s="3" t="inlineStr">
        <is>
          <t>fairy</t>
        </is>
      </c>
      <c r="H12" s="3" t="inlineStr"/>
      <c r="I12" s="3" t="inlineStr"/>
      <c r="J12" s="3" t="inlineStr"/>
      <c r="K12" s="3" t="inlineStr"/>
      <c r="L12" s="5" t="inlineStr"/>
      <c r="M12" s="11">
        <f>IF(ISNUMBER(E12),E12/MAX(100,$E$30+MAX(E12*0,0)),"")</f>
        <v/>
      </c>
    </row>
    <row r="13">
      <c r="A13" s="2" t="inlineStr">
        <is>
          <t>PolarityProngsEffect</t>
        </is>
      </c>
      <c r="B13" s="2" t="inlineStr">
        <is>
          <t>polarityProngs</t>
        </is>
      </c>
      <c r="C13" s="3" t="inlineStr">
        <is>
          <t>Polarity Prongs</t>
        </is>
      </c>
      <c r="D13" s="4" t="inlineStr">
        <is>
          <t>Shards of Astra rain down in an oddly specific pattern, emitting pulling pulses</t>
        </is>
      </c>
      <c r="E13" s="3" t="n">
        <v>2</v>
      </c>
      <c r="F13" s="3" t="inlineStr">
        <is>
          <t>◈</t>
        </is>
      </c>
      <c r="G13" s="3" t="inlineStr">
        <is>
          <t>crystal_shower</t>
        </is>
      </c>
      <c r="H13" s="3" t="inlineStr">
        <is>
          <t>terra</t>
        </is>
      </c>
      <c r="I13" s="3" t="inlineStr"/>
      <c r="J13" s="3" t="inlineStr"/>
      <c r="K13" s="3" t="inlineStr"/>
      <c r="L13" s="5" t="inlineStr"/>
      <c r="M13" s="11">
        <f>IF(ISNUMBER(E13),E13/MAX(100,$E$30+MAX(E13*0,0)),"")</f>
        <v/>
      </c>
    </row>
    <row r="14">
      <c r="A14" s="2" t="inlineStr">
        <is>
          <t>UnknownEssenceEffect</t>
        </is>
      </c>
      <c r="B14" s="2" t="inlineStr">
        <is>
          <t>unknownEssence</t>
        </is>
      </c>
      <c r="C14" s="3" t="inlineStr">
        <is>
          <t>Unknown Essence</t>
        </is>
      </c>
      <c r="D14" s="4" t="inlineStr">
        <is>
          <t>A strange black mist that crystalizes into sharp blades on contact, sapping ZC for the next \(GameRules.essenceMoves) turns.</t>
        </is>
      </c>
      <c r="E14" s="3" t="n">
        <v>1</v>
      </c>
      <c r="F14" s="3" t="inlineStr">
        <is>
          <t>◍</t>
        </is>
      </c>
      <c r="G14" s="3" t="inlineStr">
        <is>
          <t>spiked_swirl</t>
        </is>
      </c>
      <c r="H14" s="3" t="inlineStr"/>
      <c r="I14" s="3" t="inlineStr"/>
      <c r="J14" s="3" t="inlineStr"/>
      <c r="K14" s="3" t="inlineStr"/>
      <c r="L14" s="5" t="inlineStr">
        <is>
          <t>chance: On the uncommon-rare cusp: the weight sits at the bottom of its tier.</t>
        </is>
      </c>
      <c r="M14" s="11">
        <f>IF(ISNUMBER(E14),E14/MAX(100,$E$30+MAX(E14*0,0)),"")</f>
        <v/>
      </c>
    </row>
    <row r="15">
      <c r="A15" s="2" t="inlineStr">
        <is>
          <t>AstralEssenceEffect</t>
        </is>
      </c>
      <c r="B15" s="2" t="inlineStr">
        <is>
          <t>astralEssence</t>
        </is>
      </c>
      <c r="C15" s="3" t="inlineStr">
        <is>
          <t>Astral Essence</t>
        </is>
      </c>
      <c r="D15" s="4" t="inlineStr">
        <is>
          <t>The power of the stars energizes your next \(GameRules.essenceMoves) steps.</t>
        </is>
      </c>
      <c r="E15" s="3" t="n">
        <v>20</v>
      </c>
      <c r="F15" s="3" t="inlineStr">
        <is>
          <t>◎</t>
        </is>
      </c>
      <c r="G15" s="3" t="inlineStr">
        <is>
          <t>soul</t>
        </is>
      </c>
      <c r="H15" s="3" t="inlineStr">
        <is>
          <t>astra</t>
        </is>
      </c>
      <c r="I15" s="3" t="inlineStr"/>
      <c r="J15" s="3" t="inlineStr"/>
      <c r="K15" s="3" t="inlineStr"/>
      <c r="L15" s="5" t="inlineStr">
        <is>
          <t>chance: A little more likely than Z-Charge, whose weight is 1.  |  spawnPlane: Astra only.</t>
        </is>
      </c>
      <c r="M15" s="11">
        <f>IF(ISNUMBER(E15),E15/MAX(100,$E$30+MAX(E15*0,0)),"")</f>
        <v/>
      </c>
    </row>
    <row r="16">
      <c r="A16" s="2" t="inlineStr">
        <is>
          <t>TrivialTremorEffect</t>
        </is>
      </c>
      <c r="B16" s="2" t="inlineStr">
        <is>
          <t>trivialTremor</t>
        </is>
      </c>
      <c r="C16" s="3" t="inlineStr">
        <is>
          <t>Trivial Tremor</t>
        </is>
      </c>
      <c r="D16" s="4" t="inlineStr">
        <is>
          <t>Nothing to worry about.</t>
        </is>
      </c>
      <c r="E16" s="3" t="n">
        <v>10</v>
      </c>
      <c r="F16" s="3" t="inlineStr">
        <is>
          <t>▪︎</t>
        </is>
      </c>
      <c r="G16" s="3" t="inlineStr">
        <is>
          <t>slab</t>
        </is>
      </c>
      <c r="H16" s="3" t="inlineStr">
        <is>
          <t>terra</t>
        </is>
      </c>
      <c r="I16" s="3" t="inlineStr"/>
      <c r="J16" s="3" t="inlineStr"/>
      <c r="K16" s="3" t="inlineStr"/>
      <c r="L16" s="5" t="inlineStr">
        <is>
          <t>spawnPlane: Terra only. There is no ground to crack on Astra.</t>
        </is>
      </c>
      <c r="M16" s="11">
        <f>IF(ISNUMBER(E16),E16/MAX(100,$E$30+MAX(E16*0,0)),"")</f>
        <v/>
      </c>
    </row>
    <row r="17">
      <c r="A17" s="2" t="inlineStr">
        <is>
          <t>SeismicShakedownEffect</t>
        </is>
      </c>
      <c r="B17" s="2" t="inlineStr">
        <is>
          <t>seismicShakedown</t>
        </is>
      </c>
      <c r="C17" s="3" t="inlineStr">
        <is>
          <t>Seismic Shakedown</t>
        </is>
      </c>
      <c r="D17" s="4" t="inlineStr">
        <is>
          <t>Worrying warranted.</t>
        </is>
      </c>
      <c r="E17" s="3" t="n">
        <v>2</v>
      </c>
      <c r="F17" s="3" t="inlineStr">
        <is>
          <t>▰</t>
        </is>
      </c>
      <c r="G17" s="3" t="inlineStr">
        <is>
          <t>groundbreaker</t>
        </is>
      </c>
      <c r="H17" s="3" t="inlineStr">
        <is>
          <t>terra</t>
        </is>
      </c>
      <c r="I17" s="3" t="inlineStr"/>
      <c r="J17" s="3" t="inlineStr"/>
      <c r="K17" s="3" t="inlineStr"/>
      <c r="L17" s="5" t="inlineStr"/>
      <c r="M17" s="11">
        <f>IF(ISNUMBER(E17),E17/MAX(100,$E$30+MAX(E17*0,0)),"")</f>
        <v/>
      </c>
    </row>
    <row r="18">
      <c r="A18" s="2" t="inlineStr">
        <is>
          <t>AstralBlazeEffect</t>
        </is>
      </c>
      <c r="B18" s="2" t="inlineStr">
        <is>
          <t>astralBlaze</t>
        </is>
      </c>
      <c r="C18" s="3" t="inlineStr">
        <is>
          <t>Astral Essence ✧ Blaze</t>
        </is>
      </c>
      <c r="D18" s="4" t="inlineStr">
        <is>
          <t>The ring of tiles around you loses one stage. Gain 1 ZC per tile damaged, 2 per tile broken.</t>
        </is>
      </c>
      <c r="E18" s="3" t="n">
        <v>5</v>
      </c>
      <c r="F18" s="3" t="inlineStr">
        <is>
          <t>✷</t>
        </is>
      </c>
      <c r="G18" s="3" t="inlineStr">
        <is>
          <t>Element_Fire</t>
        </is>
      </c>
      <c r="H18" s="3" t="inlineStr"/>
      <c r="I18" s="3" t="inlineStr">
        <is>
          <t>fire</t>
        </is>
      </c>
      <c r="J18" s="3" t="inlineStr"/>
      <c r="K18" s="3" t="inlineStr"/>
      <c r="L18" s="5" t="inlineStr">
        <is>
          <t>chance: The four Essences are what the uncommon tier is *for*, and their current rate plays well — three each keeps it where it was while the warps come down around them.</t>
        </is>
      </c>
      <c r="M18" s="11">
        <f>IF(ISNUMBER(E18),E18/MAX(100,$E$30+MAX(E18*0,0)),"")</f>
        <v/>
      </c>
    </row>
    <row r="19">
      <c r="A19" s="2" t="inlineStr">
        <is>
          <t>AstralBlossomEffect</t>
        </is>
      </c>
      <c r="B19" s="2" t="inlineStr">
        <is>
          <t>astralBlossom</t>
        </is>
      </c>
      <c r="C19" s="3" t="inlineStr">
        <is>
          <t>Astral Essence ✧ Blossom</t>
        </is>
      </c>
      <c r="D19" s="4" t="inlineStr">
        <is>
          <t>A ring of Astral energy blooms around you. On Astra it fully heals the ring; on Terra it mends one stage and leaves flowers, even on holes.</t>
        </is>
      </c>
      <c r="E19" s="3" t="n">
        <v>5</v>
      </c>
      <c r="F19" s="3" t="inlineStr">
        <is>
          <t>✽</t>
        </is>
      </c>
      <c r="G19" s="3" t="inlineStr">
        <is>
          <t>Element_Earth</t>
        </is>
      </c>
      <c r="H19" s="3" t="inlineStr"/>
      <c r="I19" s="3" t="inlineStr"/>
      <c r="J19" s="3" t="inlineStr"/>
      <c r="K19" s="3" t="inlineStr"/>
      <c r="L19" s="5" t="inlineStr">
        <is>
          <t>chance: The four Essences are what the uncommon tier is *for*, and their current rate plays well — three each keeps it where it was while the warps come down around them.</t>
        </is>
      </c>
      <c r="M19" s="11">
        <f>IF(ISNUMBER(E19),E19/MAX(100,$E$30+MAX(E19*0,0)),"")</f>
        <v/>
      </c>
    </row>
    <row r="20">
      <c r="A20" s="2" t="inlineStr">
        <is>
          <t>CornerWarpEffect</t>
        </is>
      </c>
      <c r="B20" s="2" t="inlineStr">
        <is>
          <t>cornerWarp</t>
        </is>
      </c>
      <c r="C20" s="3" t="inlineStr">
        <is>
          <t>Corner-Cut</t>
        </is>
      </c>
      <c r="D20" s="4" t="inlineStr">
        <is>
          <t>An Astral gust takes you to a random corner of the plane.</t>
        </is>
      </c>
      <c r="E20" s="3" t="n">
        <v>5</v>
      </c>
      <c r="F20" s="3" t="inlineStr">
        <is>
          <t>⟀</t>
        </is>
      </c>
      <c r="G20" s="3" t="inlineStr">
        <is>
          <t>corner_cut</t>
        </is>
      </c>
      <c r="H20" s="3" t="inlineStr"/>
      <c r="I20" s="3" t="inlineStr"/>
      <c r="J20" s="3" t="inlineStr"/>
      <c r="K20" s="3" t="inlineStr"/>
      <c r="L20" s="5" t="inlineStr">
        <is>
          <t>chance: Below the Essences: a warp rearranges where the whole run is happening, which is a bigger event than any single tile changing.  |  displayName: Renamed off "Corner Current", which collided with Aquarius' Crazy Current — one is a coin that moves you once, the other is the rule that governs how that sign moves at all, and two things called *current* in a game about being carried around is a word doing too much work.</t>
        </is>
      </c>
      <c r="M20" s="11">
        <f>IF(ISNUMBER(E20),E20/MAX(100,$E$30+MAX(E20*0,0)),"")</f>
        <v/>
      </c>
    </row>
    <row r="21">
      <c r="A21" s="2" t="inlineStr">
        <is>
          <t>NexysShiftEffect</t>
        </is>
      </c>
      <c r="B21" s="2" t="inlineStr">
        <is>
          <t>nexysShift</t>
        </is>
      </c>
      <c r="C21" s="3" t="inlineStr">
        <is>
          <t>Nexys Node</t>
        </is>
      </c>
      <c r="D21" s="4" t="inlineStr">
        <is>
          <t>Return to the Nexys. Summon it if on a different plane.</t>
        </is>
      </c>
      <c r="E21" s="3" t="n">
        <v>5</v>
      </c>
      <c r="F21" s="3" t="inlineStr">
        <is>
          <t>◈</t>
        </is>
      </c>
      <c r="G21" s="3" t="inlineStr">
        <is>
          <t>nexys_node</t>
        </is>
      </c>
      <c r="H21" s="3" t="inlineStr"/>
      <c r="I21" s="3" t="inlineStr"/>
      <c r="J21" s="3" t="inlineStr"/>
      <c r="K21" s="3" t="inlineStr"/>
      <c r="L21" s="5" t="inlineStr">
        <is>
          <t>chance: The rarest uncommon. Moving the island moves the one fixed landmark on the board, and at its old rate it was turning up often enough that the Nexys stopped feeling fixed at all.</t>
        </is>
      </c>
      <c r="M21" s="11">
        <f>IF(ISNUMBER(E21),E21/MAX(100,$E$30+MAX(E21*0,0)),"")</f>
        <v/>
      </c>
    </row>
    <row r="22">
      <c r="A22" s="2" t="inlineStr">
        <is>
          <t>ZodaemoniteSkullEffect</t>
        </is>
      </c>
      <c r="B22" s="2" t="inlineStr">
        <is>
          <t>zodaemoniteSkull</t>
        </is>
      </c>
      <c r="C22" s="3" t="inlineStr">
        <is>
          <t>Zodaemonite Skull</t>
        </is>
      </c>
      <c r="D22" s="4" t="inlineStr">
        <is>
          <t>A strange skull made of Zodaemonite; a pitch-black ore from deep beneath Terra. Your Zodea's Astral Essence is sapped upon touch.</t>
        </is>
      </c>
      <c r="E22" s="3" t="n">
        <v>2</v>
      </c>
      <c r="F22" s="3" t="inlineStr">
        <is>
          <t>☠</t>
        </is>
      </c>
      <c r="G22" s="3" t="inlineStr">
        <is>
          <t>skull_slices</t>
        </is>
      </c>
      <c r="H22" s="3" t="inlineStr"/>
      <c r="I22" s="3" t="inlineStr"/>
      <c r="J22" s="3" t="inlineStr"/>
      <c r="K22" s="3" t="inlineStr"/>
      <c r="L22" s="5" t="inlineStr"/>
      <c r="M22" s="11">
        <f>IF(ISNUMBER(E22),E22/MAX(100,$E$30+MAX(E22*0,0)),"")</f>
        <v/>
      </c>
    </row>
    <row r="23">
      <c r="A23" s="2" t="inlineStr">
        <is>
          <t>ForcedFateEffect</t>
        </is>
      </c>
      <c r="B23" s="2" t="inlineStr">
        <is>
          <t>forcedFate</t>
        </is>
      </c>
      <c r="C23" s="3" t="inlineStr">
        <is>
          <t>Forced Fate</t>
        </is>
      </c>
      <c r="D23" s="4" t="inlineStr">
        <is>
          <t>The stars have ordained your Zodea has changed.</t>
        </is>
      </c>
      <c r="E23" s="3" t="n">
        <v>2</v>
      </c>
      <c r="F23" s="3" t="inlineStr">
        <is>
          <t>✦</t>
        </is>
      </c>
      <c r="G23" s="3" t="inlineStr">
        <is>
          <t>forced_fate</t>
        </is>
      </c>
      <c r="H23" s="3" t="inlineStr"/>
      <c r="I23" s="3" t="inlineStr"/>
      <c r="J23" s="3" t="inlineStr"/>
      <c r="K23" s="3" t="inlineStr"/>
      <c r="L23" s="5" t="inlineStr">
        <is>
          <t>chance: One, down from three.  Being *given* a Zodea is still the lesser of the pair against Alignment, which is a decision — but three made it the commonest rare in the game, and a coin that rewrites who you are playing should read as an event rather than as a mechanic you plan around.</t>
        </is>
      </c>
      <c r="M23" s="11">
        <f>IF(ISNUMBER(E23),E23/MAX(100,$E$30+MAX(E23*0,0)),"")</f>
        <v/>
      </c>
    </row>
    <row r="24">
      <c r="A24" s="2" t="inlineStr">
        <is>
          <t>AlignmentEffect</t>
        </is>
      </c>
      <c r="B24" s="2" t="inlineStr">
        <is>
          <t>alignment</t>
        </is>
      </c>
      <c r="C24" s="3" t="inlineStr">
        <is>
          <t>Alignment</t>
        </is>
      </c>
      <c r="D24" s="4" t="inlineStr">
        <is>
          <t>When fully aligned, even the stars reaarange to your will.</t>
        </is>
      </c>
      <c r="E24" s="3" t="n">
        <v>1</v>
      </c>
      <c r="F24" s="3" t="inlineStr">
        <is>
          <t>✧</t>
        </is>
      </c>
      <c r="G24" s="3" t="inlineStr">
        <is>
          <t>alignment</t>
        </is>
      </c>
      <c r="H24" s="3" t="inlineStr"/>
      <c r="I24" s="3" t="inlineStr"/>
      <c r="J24" s="3" t="inlineStr"/>
      <c r="K24" s="3" t="inlineStr"/>
      <c r="L24" s="5" t="inlineStr">
        <is>
          <t>chance: The rarest thing that is not pinned to a single square. Choosing your own sign is the strongest effect in the game — it converts a bad run into whichever run you wanted — so it has to be the one you almost never see.</t>
        </is>
      </c>
      <c r="M24" s="11">
        <f>IF(ISNUMBER(E24),E24/MAX(100,$E$30+MAX(E24*0,0)),"")</f>
        <v/>
      </c>
    </row>
    <row r="25">
      <c r="A25" s="2" t="inlineStr">
        <is>
          <t>PolarisEffect</t>
        </is>
      </c>
      <c r="B25" s="2" t="inlineStr">
        <is>
          <t>polaris</t>
        </is>
      </c>
      <c r="C25" s="3" t="inlineStr">
        <is>
          <t>Polaris</t>
        </is>
      </c>
      <c r="D25" s="4" t="inlineStr">
        <is>
          <t>A fragment of Old Astra, radiating with power. Restores the current plane, on your word.</t>
        </is>
      </c>
      <c r="E25" s="3" t="n">
        <v>0</v>
      </c>
      <c r="F25" s="3" t="inlineStr">
        <is>
          <t>★</t>
        </is>
      </c>
      <c r="G25" s="3" t="inlineStr">
        <is>
          <t>eclipse_star</t>
        </is>
      </c>
      <c r="H25" s="3" t="inlineStr"/>
      <c r="I25" s="3" t="inlineStr"/>
      <c r="J25" s="3" t="inlineStr">
        <is>
          <t>radiant</t>
        </is>
      </c>
      <c r="K25" s="3" t="inlineStr"/>
      <c r="L25" s="5" t="inlineStr">
        <is>
          <t>appearance: Bright and starlit rather than the anonymous gold coin — a legendary is rare enough that telegraphing it is the point.  |  rollsAsRarity: Rolled among the commons, not the legendaries.  Being pinned to one square already makes it rare: a sparkle set has to cover the top-centre tile before Polaris is even a candidate. Charging it legendary odds *as well* is two gates on the same door, and it is why it was never seen.  |  chance: Zero: Polaris never wins an ordinary draw.  It is placed by `GameEngine.drawPickup(at:on:)`, which asks the only question that decides it — whether this is the north-middle tile, and whether the third came up. Being in the weighted roll as well would be two lotteries for one prize.</t>
        </is>
      </c>
      <c r="M25" s="11">
        <f>IF(ISNUMBER(E25),E25/MAX(100,$E$30+MAX(E25*0,0)),"")</f>
        <v/>
      </c>
    </row>
    <row r="26">
      <c r="A26" s="2" t="inlineStr">
        <is>
          <t>ShadowWorkEffect</t>
        </is>
      </c>
      <c r="B26" s="2" t="inlineStr">
        <is>
          <t>shadowWork</t>
        </is>
      </c>
      <c r="C26" s="3" t="inlineStr">
        <is>
          <t>Shadow Work</t>
        </is>
      </c>
      <c r="D26" s="4" t="inlineStr">
        <is>
          <t>Sometimes true power comes from conquering the darknesses avoided within self.</t>
        </is>
      </c>
      <c r="E26" s="3" t="inlineStr">
        <is>
          <t>GameRules.shadowWorkChance</t>
        </is>
      </c>
      <c r="F26" s="3" t="inlineStr">
        <is>
          <t>☾</t>
        </is>
      </c>
      <c r="G26" s="3" t="inlineStr">
        <is>
          <t>cross_flare</t>
        </is>
      </c>
      <c r="H26" s="3" t="inlineStr"/>
      <c r="I26" s="3" t="inlineStr"/>
      <c r="J26" s="3" t="inlineStr">
        <is>
          <t>shadow</t>
        </is>
      </c>
      <c r="K26" s="3" t="inlineStr"/>
      <c r="L26" s="5" t="inlineStr">
        <is>
          <t>appearance: Desaturated and dark, so it is recognisable on sight.  |  chance: As rare as Polaris. It is the other legendary, and the only coin in the game that makes the board *worse* on purpose.</t>
        </is>
      </c>
      <c r="M26" s="11">
        <f>IF(ISNUMBER(E26),E26/MAX(100,$E$30+MAX(E26*0,0)),"")</f>
        <v/>
      </c>
    </row>
    <row r="27">
      <c r="A27" s="2" t="inlineStr">
        <is>
          <t>GaleforceGavelEffect</t>
        </is>
      </c>
      <c r="B27" s="2" t="inlineStr">
        <is>
          <t>galeforceGavel</t>
        </is>
      </c>
      <c r="C27" s="3" t="inlineStr">
        <is>
          <t>Galeforce Gavel</t>
        </is>
      </c>
      <c r="D27" s="4" t="inlineStr">
        <is>
          <t>Tip the scales in your favor by placing tiles where you see fit.</t>
        </is>
      </c>
      <c r="E27" s="3" t="n">
        <v>0</v>
      </c>
      <c r="F27" s="3" t="inlineStr">
        <is>
          <t>⚖</t>
        </is>
      </c>
      <c r="G27" s="3" t="inlineStr">
        <is>
          <t>fluffy_swirl</t>
        </is>
      </c>
      <c r="H27" s="3" t="inlineStr"/>
      <c r="I27" s="3" t="inlineStr">
        <is>
          <t>air</t>
        </is>
      </c>
      <c r="J27" s="3" t="inlineStr">
        <is>
          <t>gavel</t>
        </is>
      </c>
      <c r="K27" s="3" t="inlineStr"/>
      <c r="L27" s="5" t="inlineStr">
        <is>
          <t>chance: Zero, so it is never rolled by anyone. Libra swaps it into the Nexys Shift's place through `ZodiacPassive.pickupWeight` — the same idiom Pisces uses to trade Z-Charge against the Tear.</t>
        </is>
      </c>
      <c r="M27" s="11">
        <f>IF(ISNUMBER(E27),E27/MAX(100,$E$30+MAX(E27*0,0)),"")</f>
        <v/>
      </c>
    </row>
    <row r="28">
      <c r="A28" s="2" t="inlineStr">
        <is>
          <t>GaiaDropletEffect</t>
        </is>
      </c>
      <c r="B28" s="2" t="inlineStr">
        <is>
          <t>gaiaDroplet</t>
        </is>
      </c>
      <c r="C28" s="3" t="inlineStr">
        <is>
          <t>Gaia Droplet</t>
        </is>
      </c>
      <c r="D28" s="4" t="inlineStr">
        <is>
          <t>Gain \(GameRules.gaiaDropletCharge) ZC.</t>
        </is>
      </c>
      <c r="E28" s="3" t="n">
        <v>0</v>
      </c>
      <c r="F28" s="3" t="inlineStr">
        <is>
          <t>💧</t>
        </is>
      </c>
      <c r="G28" s="3" t="inlineStr">
        <is>
          <t>bubbles2</t>
        </is>
      </c>
      <c r="H28" s="3" t="inlineStr"/>
      <c r="I28" s="3" t="inlineStr">
        <is>
          <t>water</t>
        </is>
      </c>
      <c r="J28" s="3" t="inlineStr">
        <is>
          <t>droplet</t>
        </is>
      </c>
      <c r="K28" s="3" t="inlineStr">
        <is>
          <t>boon</t>
        </is>
      </c>
      <c r="L28" s="5" t="inlineStr">
        <is>
          <t>chance: Never rolled. Placed by `PiscesGaiaGeyser` and by a pool burning off.  |  pickupClass: Not part of the hunt — see `PickupClass`. Droplets are put on the board deliberately and are meant to stay there, so the sparkle phase carries on around them and taking a Pentacle does not shatter them.</t>
        </is>
      </c>
      <c r="M28" s="11">
        <f>IF(ISNUMBER(E28),E28/MAX(100,$E$30+MAX(E28*0,0)),"")</f>
        <v/>
      </c>
    </row>
    <row r="30">
      <c r="D30" s="6" t="inlineStr">
        <is>
          <t>Others total</t>
        </is>
      </c>
      <c r="E30" s="6">
        <f>SUMIF(A2:A28,"&lt;&gt;AstralTearEffect",E2:E28)</f>
        <v/>
      </c>
      <c r="F30" s="7" t="inlineStr">
        <is>
          <t>Keep this at or under 100. Every coin except the Astral Tear draws at exactly the number written here — 5 means five hunts in a hundred — and the Tear takes whatever is left, because a hunt always has to pay. Over 100 there is nothing left for it to take and the numbers become weights again.</t>
        </is>
      </c>
    </row>
  </sheetData>
  <autoFilter ref="A1:N28"/>
  <dataValidations count="4">
    <dataValidation sqref="E2:E28" showDropDown="0" showInputMessage="0" showErrorMessage="0" allowBlank="1" type="list">
      <formula1>"common,uncommon,rare,legendary"</formula1>
    </dataValidation>
    <dataValidation sqref="F2:F28" showDropDown="0" showInputMessage="0" showErrorMessage="0" allowBlank="1" type="list">
      <formula1>"common,uncommon,rare,legendary"</formula1>
    </dataValidation>
    <dataValidation sqref="J2:J28" showDropDown="0" showInputMessage="0" showErrorMessage="0" allowBlank="1" type="list">
      <formula1>"astra,terra"</formula1>
    </dataValidation>
    <dataValidation sqref="K2:K28" showDropDown="0" showInputMessage="0" showErrorMessage="0" allowBlank="1" type="list">
      <formula1>"fire,water,air,earth"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0" customWidth="1" min="1" max="1"/>
    <col width="98" customWidth="1" min="2" max="2"/>
  </cols>
  <sheetData>
    <row r="1">
      <c r="A1" s="8" t="inlineStr">
        <is>
          <t>How to use this sheet</t>
        </is>
      </c>
    </row>
    <row r="3" ht="36" customHeight="1">
      <c r="A3" s="6" t="inlineStr">
        <is>
          <t>What this is</t>
        </is>
      </c>
      <c r="B3" s="9" t="inlineStr">
        <is>
          <t>The source of truth for every pickup's descriptor — what it is called, what it says, how often it turns up. Edit here, run the generator, and the game has it.</t>
        </is>
      </c>
    </row>
    <row r="4" ht="36" customHeight="1">
      <c r="A4" s="6" t="inlineStr">
        <is>
          <t>Regenerate</t>
        </is>
      </c>
      <c r="B4" s="9" t="inlineStr">
        <is>
          <t>python3 Tools/generate_pickups.py     (run from the Project Stars folder)</t>
        </is>
      </c>
    </row>
    <row r="5" ht="36" customHeight="1">
      <c r="A5" s="6" t="inlineStr">
        <is>
          <t>Shaded cells</t>
        </is>
      </c>
      <c r="B5" s="9" t="inlineStr">
        <is>
          <t>Editable. The two grey columns are not: they name Swift types and enum cases.</t>
        </is>
      </c>
    </row>
    <row r="6" ht="36" customHeight="1">
      <c r="A6" s="6" t="inlineStr">
        <is>
          <t>What is NOT here</t>
        </is>
      </c>
      <c r="B6" s="9" t="inlineStr">
        <is>
          <t>What a coin *does*. That is plan() in Pickups/Pentacles.swift, and it is code. This sheet owns the description; Swift owns the behaviour.</t>
        </is>
      </c>
    </row>
    <row r="7" ht="36" customHeight="1">
      <c r="A7" s="6" t="inlineStr">
        <is>
          <t>Adding a coin</t>
        </is>
      </c>
      <c r="B7" s="9" t="inlineStr">
        <is>
          <t>Add the PickupID case and the struct with its plan() in Swift first, then add the row here. The generator invents neither, and refuses to write if a row has no struct or a struct has no row.</t>
        </is>
      </c>
    </row>
    <row r="8" ht="36" customHeight="1">
      <c r="A8" s="6" t="inlineStr">
        <is>
          <t>Interpolation</t>
        </is>
      </c>
      <c r="B8" s="9" t="inlineStr">
        <is>
          <t>Summary may contain Swift interpolation — Gain \(GameRules.zChargePentacleAmount) ZC — passed through verbatim, so a blurb can quote a real tuning value instead of restating it and drifting.</t>
        </is>
      </c>
    </row>
    <row r="9" ht="36" customHeight="1">
      <c r="A9" s="6" t="inlineStr">
        <is>
          <t>Example row</t>
        </is>
      </c>
      <c r="B9" s="9" t="inlineStr">
        <is>
          <t>Copy any row and change it. The minimum: Struct MyCoinEffect | ID myCoin | Name My Coin | Summary Does the thing. | Rarity common | Chance 5 | Glyph ✦. Every other column may be left blank.</t>
        </is>
      </c>
    </row>
    <row r="12">
      <c r="A12" s="10" t="inlineStr">
        <is>
          <t>Columns</t>
        </is>
      </c>
    </row>
    <row r="13" ht="30" customHeight="1">
      <c r="A13" s="6" t="inlineStr">
        <is>
          <t>Struct</t>
        </is>
      </c>
      <c r="B13" s="9" t="inlineStr">
        <is>
          <t>The Swift type holding this coin's plan(). Read-only — rename in Swift, not here.</t>
        </is>
      </c>
    </row>
    <row r="14" ht="30" customHeight="1">
      <c r="A14" s="6" t="inlineStr">
        <is>
          <t>ID</t>
        </is>
      </c>
      <c r="B14" s="9" t="inlineStr">
        <is>
          <t>PickupID case. Read-only — the enum lives in Swift.</t>
        </is>
      </c>
    </row>
    <row r="15" ht="30" customHeight="1">
      <c r="A15" s="6" t="inlineStr">
        <is>
          <t>Name</t>
        </is>
      </c>
      <c r="B15" s="9" t="inlineStr">
        <is>
          <t>Shown when the coin is opened.</t>
        </is>
      </c>
    </row>
    <row r="16" ht="30" customHeight="1">
      <c r="A16" s="6" t="inlineStr">
        <is>
          <t>Summary</t>
        </is>
      </c>
      <c r="B16" s="9" t="inlineStr">
        <is>
          <t>One-line rules text. Swift interpolation is allowed.</t>
        </is>
      </c>
    </row>
    <row r="17" ht="30" customHeight="1">
      <c r="A17" s="6" t="inlineStr">
        <is>
          <t>Rarity</t>
        </is>
      </c>
      <c r="B17" s="9" t="inlineStr">
        <is>
          <t>common / uncommon / rare / legendary</t>
        </is>
      </c>
    </row>
    <row r="18" ht="30" customHeight="1">
      <c r="A18" s="6" t="inlineStr">
        <is>
          <t>Rolls As</t>
        </is>
      </c>
      <c r="B18" s="9" t="inlineStr">
        <is>
          <t>Tier it is *rolled* in, when that differs. Blank = same as Rarity.</t>
        </is>
      </c>
    </row>
    <row r="19" ht="30" customHeight="1">
      <c r="A19" s="6" t="inlineStr">
        <is>
          <t>Chance</t>
        </is>
      </c>
      <c r="B19" s="9" t="inlineStr">
        <is>
          <t>Percent of all Pentacles drawn. 0 = never at random. May instead name a GameRules constant, which is passed through and cannot be counted in the total below.</t>
        </is>
      </c>
    </row>
    <row r="20" ht="30" customHeight="1">
      <c r="A20" s="6" t="inlineStr">
        <is>
          <t>Glyph</t>
        </is>
      </c>
      <c r="B20" s="9" t="inlineStr">
        <is>
          <t>Stand-in character, used wherever there is no icon yet.</t>
        </is>
      </c>
    </row>
    <row r="21" ht="30" customHeight="1">
      <c r="A21" s="6" t="inlineStr">
        <is>
          <t>Icon</t>
        </is>
      </c>
      <c r="B21" s="9" t="inlineStr">
        <is>
          <t>Asset name, or blank for none.</t>
        </is>
      </c>
    </row>
    <row r="22" ht="30" customHeight="1">
      <c r="A22" s="6" t="inlineStr">
        <is>
          <t>Plane</t>
        </is>
      </c>
      <c r="B22" s="9" t="inlineStr">
        <is>
          <t>astra / terra, or blank for both.</t>
        </is>
      </c>
    </row>
    <row r="23" ht="30" customHeight="1">
      <c r="A23" s="6" t="inlineStr">
        <is>
          <t>Element</t>
        </is>
      </c>
      <c r="B23" s="9" t="inlineStr">
        <is>
          <t>fire / water / air / earth, or blank.</t>
        </is>
      </c>
    </row>
    <row r="24" ht="30" customHeight="1">
      <c r="A24" s="6" t="inlineStr">
        <is>
          <t>Appearance</t>
        </is>
      </c>
      <c r="B24" s="9" t="inlineStr">
        <is>
          <t>How the coin looks on the board. Blank = standard.</t>
        </is>
      </c>
    </row>
    <row r="25" ht="30" customHeight="1">
      <c r="A25" s="6" t="inlineStr">
        <is>
          <t>Class</t>
        </is>
      </c>
      <c r="B25" s="9" t="inlineStr">
        <is>
          <t>Which family this belongs to. Blank = pentacle.</t>
        </is>
      </c>
    </row>
    <row r="26" ht="30" customHeight="1">
      <c r="A26" s="6" t="inlineStr">
        <is>
          <t>Notes</t>
        </is>
      </c>
      <c r="B26" s="9" t="inlineStr">
        <is>
          <t>Why the values are what they are. Carried across from the comments that used to sit above them in Swift, and written back out above each entry in the generated file — so the reasoning stays with the number wherever you read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2026-08-25T21:47:06Z</dcterms:created>
  <dcterms:modified xsi:type="dcterms:W3CDTF">2026-08-26T05:55:09Z</dcterms:modified>
</cp:coreProperties>
</file>